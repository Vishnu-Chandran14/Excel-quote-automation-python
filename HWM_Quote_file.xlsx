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ilysyscorp-my.sharepoint.com/personal/vishnu_chandran_agilysys_com/Documents/Documents/Python/QA/Excel_Quote_Automation/"/>
    </mc:Choice>
  </mc:AlternateContent>
  <xr:revisionPtr revIDLastSave="120" documentId="8_{7E866D80-BA93-4670-9EB7-56C012783593}" xr6:coauthVersionLast="47" xr6:coauthVersionMax="47" xr10:uidLastSave="{61CFA786-67E0-41AE-97B4-F69E76AF11BA}"/>
  <bookViews>
    <workbookView xWindow="-110" yWindow="-110" windowWidth="19420" windowHeight="10300" xr2:uid="{6A2BD8D4-21F1-4A31-829B-7B0619DFACB9}"/>
  </bookViews>
  <sheets>
    <sheet name="Quote_info" sheetId="1" r:id="rId1"/>
    <sheet name="Customer_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M3" i="1"/>
  <c r="I2" i="1"/>
  <c r="J2" i="1"/>
  <c r="K2" i="1"/>
  <c r="L2" i="1"/>
  <c r="M2" i="1"/>
  <c r="I4" i="1"/>
  <c r="J4" i="1"/>
  <c r="K4" i="1"/>
  <c r="L4" i="1"/>
  <c r="M4" i="1"/>
  <c r="I5" i="1"/>
  <c r="J5" i="1"/>
  <c r="K5" i="1"/>
  <c r="L5" i="1"/>
  <c r="M5" i="1"/>
</calcChain>
</file>

<file path=xl/sharedStrings.xml><?xml version="1.0" encoding="utf-8"?>
<sst xmlns="http://schemas.openxmlformats.org/spreadsheetml/2006/main" count="58" uniqueCount="50">
  <si>
    <t>SO Date</t>
  </si>
  <si>
    <t>Customer</t>
  </si>
  <si>
    <t>Order No.</t>
  </si>
  <si>
    <t>Product No.</t>
  </si>
  <si>
    <t>Product Name</t>
  </si>
  <si>
    <t>Qty Ordered</t>
  </si>
  <si>
    <t>Billing Period Start Date</t>
  </si>
  <si>
    <t>Billing Period End Date</t>
  </si>
  <si>
    <t>Last five # AC</t>
  </si>
  <si>
    <t>CUSTOMER NAME:</t>
  </si>
  <si>
    <t>CONTACT NAME:</t>
  </si>
  <si>
    <t>CONTACT EMAIL:</t>
  </si>
  <si>
    <t>CONTACT PHONE:</t>
  </si>
  <si>
    <t>Internal ID</t>
  </si>
  <si>
    <t>Document Number</t>
  </si>
  <si>
    <t>Agilysys Opportunity Number</t>
  </si>
  <si>
    <t>End User</t>
  </si>
  <si>
    <t>Customer Legal Name</t>
  </si>
  <si>
    <t>Subsidiary (no hierarchy)</t>
  </si>
  <si>
    <t>Order Managed By</t>
  </si>
  <si>
    <t>Shipping Contact Name</t>
  </si>
  <si>
    <t>Shipping Contact Email</t>
  </si>
  <si>
    <t>Shipping Contact Phone</t>
  </si>
  <si>
    <t>Sales Rep</t>
  </si>
  <si>
    <t>8653847592</t>
  </si>
  <si>
    <t>9138263424</t>
  </si>
  <si>
    <t>5206213550</t>
  </si>
  <si>
    <t>CUD_1001</t>
  </si>
  <si>
    <t>EPSON-PRINTER</t>
  </si>
  <si>
    <t>Basic Printer Model EPSON</t>
  </si>
  <si>
    <t>100001</t>
  </si>
  <si>
    <t>100002</t>
  </si>
  <si>
    <t>100003</t>
  </si>
  <si>
    <t>EPSON-SCANNER</t>
  </si>
  <si>
    <t>DELL-LAPTOP</t>
  </si>
  <si>
    <t>Basic Scanner Model EPSON</t>
  </si>
  <si>
    <t>Touch Screen Laptop DELL</t>
  </si>
  <si>
    <t>Vishnu</t>
  </si>
  <si>
    <t>India Pvt Ltd</t>
  </si>
  <si>
    <t>Co-Brothers Company</t>
  </si>
  <si>
    <t>Growing Company.Co</t>
  </si>
  <si>
    <t>CUD_1010</t>
  </si>
  <si>
    <t>CUD_1114</t>
  </si>
  <si>
    <t>Ajay</t>
  </si>
  <si>
    <t>Santhi</t>
  </si>
  <si>
    <t>aj1234@co.b.com</t>
  </si>
  <si>
    <t>vish14@indpvt.com</t>
  </si>
  <si>
    <t>santhi@growcom.org</t>
  </si>
  <si>
    <t>SWIPE CARD</t>
  </si>
  <si>
    <t>Magnetic Stripe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</si>
</sst>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2" fillId="0" borderId="0" xfId="0" quotePrefix="1" applyFont="1"/>
    <xf numFmtId="0" fontId="1" fillId="3" borderId="0" xfId="0" applyFont="1" applyFill="1" applyAlignment="1">
      <alignment horizontal="center"/>
    </xf>
    <xf numFmtId="0" fontId="0" fillId="3" borderId="0" xfId="0" applyFill="1"/>
    <xf numFmtId="49" fontId="1" fillId="4" borderId="0" xfId="0" applyNumberFormat="1" applyFont="1" applyFill="1" applyAlignment="1">
      <alignment horizontal="center"/>
    </xf>
    <xf numFmtId="0" fontId="2" fillId="4" borderId="0" xfId="0" quotePrefix="1" applyFont="1" applyFill="1"/>
    <xf numFmtId="0" fontId="0" fillId="4" borderId="0" xfId="0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nthi@growcom.org" TargetMode="External"/><Relationship Id="rId2" Type="http://schemas.openxmlformats.org/officeDocument/2006/relationships/hyperlink" Target="mailto:aj1234@co.b.com" TargetMode="External"/><Relationship Id="rId1" Type="http://schemas.openxmlformats.org/officeDocument/2006/relationships/hyperlink" Target="mailto:vish14@indpv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EFE0-AAE3-474F-AD59-3231C391B285}">
  <dimension ref="A1:M12"/>
  <sheetViews>
    <sheetView tabSelected="1" workbookViewId="0">
      <selection activeCell="A3" sqref="A3"/>
    </sheetView>
  </sheetViews>
  <sheetFormatPr defaultRowHeight="14.5" x14ac:dyDescent="0.35"/>
  <cols>
    <col min="1" max="1" width="14.54296875" customWidth="1"/>
    <col min="3" max="3" width="8.7265625" style="9"/>
    <col min="7" max="7" width="15.90625" bestFit="1" customWidth="1"/>
    <col min="8" max="8" width="15.36328125" bestFit="1" customWidth="1"/>
    <col min="9" max="13" width="21.1796875" style="6" customWidth="1"/>
    <col min="14" max="14" width="21.1796875" customWidth="1"/>
  </cols>
  <sheetData>
    <row r="1" spans="1:13" x14ac:dyDescent="0.35">
      <c r="A1" s="1" t="s">
        <v>0</v>
      </c>
      <c r="B1" s="2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5">
      <c r="A2" s="3">
        <v>46025</v>
      </c>
      <c r="B2" s="4" t="s">
        <v>27</v>
      </c>
      <c r="C2" s="8" t="s">
        <v>30</v>
      </c>
      <c r="D2" t="s">
        <v>28</v>
      </c>
      <c r="E2" t="s">
        <v>29</v>
      </c>
      <c r="F2">
        <v>10</v>
      </c>
      <c r="G2" s="3">
        <v>46162</v>
      </c>
      <c r="H2" s="3">
        <v>46526</v>
      </c>
      <c r="I2" s="6" t="str">
        <f t="shared" ref="I2:I5" si="0">RIGHT(B2,15)</f>
        <v>CUD_1001</v>
      </c>
      <c r="J2" s="6" t="str">
        <f>VLOOKUP($C2,Customer_Base!$B:$K,4,0)</f>
        <v>India Pvt Ltd</v>
      </c>
      <c r="K2" s="6" t="str">
        <f>VLOOKUP($C2,Customer_Base!$B:$K,7,0)</f>
        <v>Vishnu</v>
      </c>
      <c r="L2" s="6" t="str">
        <f>VLOOKUP($C2,Customer_Base!$B:$K,8,0)</f>
        <v>vish14@indpvt.com</v>
      </c>
      <c r="M2" s="6" t="str">
        <f>VLOOKUP($C2,Customer_Base!$B:$K,9,0)</f>
        <v>9138263424</v>
      </c>
    </row>
    <row r="3" spans="1:13" x14ac:dyDescent="0.35">
      <c r="A3" s="3">
        <v>46025</v>
      </c>
      <c r="B3" s="4" t="s">
        <v>27</v>
      </c>
      <c r="C3" s="8" t="s">
        <v>30</v>
      </c>
      <c r="D3" t="s">
        <v>48</v>
      </c>
      <c r="E3" t="s">
        <v>49</v>
      </c>
      <c r="F3">
        <v>23</v>
      </c>
      <c r="G3" s="3">
        <v>46115</v>
      </c>
      <c r="H3" s="3">
        <v>46298</v>
      </c>
      <c r="I3" s="6" t="str">
        <f t="shared" ref="I3" si="1">RIGHT(B3,15)</f>
        <v>CUD_1001</v>
      </c>
      <c r="J3" s="6" t="str">
        <f>VLOOKUP($C3,Customer_Base!$B:$K,4,0)</f>
        <v>India Pvt Ltd</v>
      </c>
      <c r="K3" s="6" t="str">
        <f>VLOOKUP($C3,Customer_Base!$B:$K,7,0)</f>
        <v>Vishnu</v>
      </c>
      <c r="L3" s="6" t="str">
        <f>VLOOKUP($C3,Customer_Base!$B:$K,8,0)</f>
        <v>vish14@indpvt.com</v>
      </c>
      <c r="M3" s="6" t="str">
        <f>VLOOKUP($C3,Customer_Base!$B:$K,9,0)</f>
        <v>9138263424</v>
      </c>
    </row>
    <row r="4" spans="1:13" x14ac:dyDescent="0.35">
      <c r="A4" s="3">
        <v>46076</v>
      </c>
      <c r="B4" s="4" t="s">
        <v>41</v>
      </c>
      <c r="C4" s="8" t="s">
        <v>31</v>
      </c>
      <c r="D4" t="s">
        <v>33</v>
      </c>
      <c r="E4" t="s">
        <v>35</v>
      </c>
      <c r="F4">
        <v>5</v>
      </c>
      <c r="G4" s="3">
        <v>46132</v>
      </c>
      <c r="H4" s="3">
        <v>46496</v>
      </c>
      <c r="I4" s="6" t="str">
        <f t="shared" si="0"/>
        <v>CUD_1010</v>
      </c>
      <c r="J4" s="6" t="str">
        <f>VLOOKUP($C4,Customer_Base!$B:$K,4,0)</f>
        <v>Co-Brothers Company</v>
      </c>
      <c r="K4" s="6" t="str">
        <f>VLOOKUP($C4,Customer_Base!$B:$K,7,0)</f>
        <v>Ajay</v>
      </c>
      <c r="L4" s="6" t="str">
        <f>VLOOKUP($C4,Customer_Base!$B:$K,8,0)</f>
        <v>aj1234@co.b.com</v>
      </c>
      <c r="M4" s="6" t="str">
        <f>VLOOKUP($C4,Customer_Base!$B:$K,9,0)</f>
        <v>8653847592</v>
      </c>
    </row>
    <row r="5" spans="1:13" x14ac:dyDescent="0.35">
      <c r="A5" s="3">
        <v>46115</v>
      </c>
      <c r="B5" s="4" t="s">
        <v>42</v>
      </c>
      <c r="C5" s="8" t="s">
        <v>32</v>
      </c>
      <c r="D5" t="s">
        <v>34</v>
      </c>
      <c r="E5" t="s">
        <v>36</v>
      </c>
      <c r="F5">
        <v>1</v>
      </c>
      <c r="G5" s="3">
        <v>46023</v>
      </c>
      <c r="H5" s="3">
        <v>46752</v>
      </c>
      <c r="I5" s="6" t="str">
        <f t="shared" si="0"/>
        <v>CUD_1114</v>
      </c>
      <c r="J5" s="6" t="str">
        <f>VLOOKUP($C5,Customer_Base!$B:$K,4,0)</f>
        <v>Growing Company.Co</v>
      </c>
      <c r="K5" s="6" t="str">
        <f>VLOOKUP($C5,Customer_Base!$B:$K,7,0)</f>
        <v>Santhi</v>
      </c>
      <c r="L5" s="6" t="str">
        <f>VLOOKUP($C5,Customer_Base!$B:$K,8,0)</f>
        <v>santhi@growcom.org</v>
      </c>
      <c r="M5" s="6" t="str">
        <f>VLOOKUP($C5,Customer_Base!$B:$K,9,0)</f>
        <v>5206213550</v>
      </c>
    </row>
    <row r="6" spans="1:13" x14ac:dyDescent="0.35">
      <c r="A6" s="3"/>
      <c r="B6" s="4"/>
      <c r="C6" s="8"/>
      <c r="G6" s="3"/>
      <c r="H6" s="3"/>
    </row>
    <row r="7" spans="1:13" x14ac:dyDescent="0.35">
      <c r="A7" s="3"/>
      <c r="B7" s="4"/>
      <c r="C7" s="8"/>
      <c r="G7" s="3"/>
      <c r="H7" s="3"/>
    </row>
    <row r="8" spans="1:13" x14ac:dyDescent="0.35">
      <c r="A8" s="3"/>
      <c r="B8" s="4"/>
      <c r="C8" s="8"/>
      <c r="G8" s="3"/>
      <c r="H8" s="3"/>
    </row>
    <row r="9" spans="1:13" x14ac:dyDescent="0.35">
      <c r="A9" s="3"/>
      <c r="B9" s="4"/>
      <c r="C9" s="8"/>
      <c r="G9" s="3"/>
      <c r="H9" s="3"/>
    </row>
    <row r="10" spans="1:13" x14ac:dyDescent="0.35">
      <c r="A10" s="3"/>
      <c r="B10" s="4"/>
      <c r="C10" s="8"/>
      <c r="G10" s="3"/>
      <c r="H10" s="3"/>
    </row>
    <row r="11" spans="1:13" x14ac:dyDescent="0.35">
      <c r="A11" s="3"/>
      <c r="B11" s="4"/>
      <c r="C11" s="8"/>
      <c r="G11" s="3"/>
      <c r="H11" s="3"/>
    </row>
    <row r="12" spans="1:13" x14ac:dyDescent="0.35">
      <c r="A12" s="3"/>
      <c r="B12" s="4"/>
      <c r="C12" s="8"/>
      <c r="G12" s="3"/>
      <c r="H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9B9A-A4D7-4017-BB6A-0A53231E6A1C}">
  <dimension ref="A1:K4"/>
  <sheetViews>
    <sheetView workbookViewId="0"/>
  </sheetViews>
  <sheetFormatPr defaultRowHeight="14.5" x14ac:dyDescent="0.35"/>
  <cols>
    <col min="1" max="11" width="14.1796875" customWidth="1"/>
  </cols>
  <sheetData>
    <row r="1" spans="1:1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35">
      <c r="B2" t="s">
        <v>30</v>
      </c>
      <c r="D2" t="s">
        <v>27</v>
      </c>
      <c r="E2" t="s">
        <v>38</v>
      </c>
      <c r="H2" t="s">
        <v>37</v>
      </c>
      <c r="I2" s="10" t="s">
        <v>46</v>
      </c>
      <c r="J2" t="s">
        <v>25</v>
      </c>
    </row>
    <row r="3" spans="1:11" x14ac:dyDescent="0.35">
      <c r="B3" t="s">
        <v>31</v>
      </c>
      <c r="D3" t="s">
        <v>41</v>
      </c>
      <c r="E3" t="s">
        <v>39</v>
      </c>
      <c r="H3" t="s">
        <v>43</v>
      </c>
      <c r="I3" s="10" t="s">
        <v>45</v>
      </c>
      <c r="J3" t="s">
        <v>24</v>
      </c>
    </row>
    <row r="4" spans="1:11" x14ac:dyDescent="0.35">
      <c r="B4" t="s">
        <v>32</v>
      </c>
      <c r="D4" t="s">
        <v>42</v>
      </c>
      <c r="E4" t="s">
        <v>40</v>
      </c>
      <c r="H4" t="s">
        <v>44</v>
      </c>
      <c r="I4" s="10" t="s">
        <v>47</v>
      </c>
      <c r="J4" t="s">
        <v>26</v>
      </c>
    </row>
  </sheetData>
  <hyperlinks>
    <hyperlink ref="I2" r:id="rId1" xr:uid="{DF291108-A831-4BA9-A78B-5800F1F02120}"/>
    <hyperlink ref="I3" r:id="rId2" xr:uid="{63DA580E-770F-4CD1-A4DA-05DF1A1DDE08}"/>
    <hyperlink ref="I4" r:id="rId3" xr:uid="{20AD8B88-5DEE-4022-9240-24EA0FECA4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Quote_info</vt:lpstr>
      <vt:lpstr>Customer_Base</vt:lpstr>
    </vt:vector>
  </TitlesOfParts>
  <Company>Agilysys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Chandran, Vishnu</dc:creator>
  <cp:lastModifiedBy>Chandran, Vishnu</cp:lastModifiedBy>
  <dcterms:created xsi:type="dcterms:W3CDTF">2026-03-21T06:19:15Z</dcterms:created>
  <dcterms:modified xsi:type="dcterms:W3CDTF">2026-04-03T07:24:50Z</dcterms:modified>
</cp:coreProperties>
</file>